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Documents\Jupyter\dr-olaye-project\"/>
    </mc:Choice>
  </mc:AlternateContent>
  <xr:revisionPtr revIDLastSave="0" documentId="13_ncr:1_{0E25A679-7DB2-4F29-B7C7-814F80984640}" xr6:coauthVersionLast="47" xr6:coauthVersionMax="47" xr10:uidLastSave="{00000000-0000-0000-0000-000000000000}"/>
  <bookViews>
    <workbookView xWindow="-108" yWindow="-108" windowWidth="23256" windowHeight="12456" xr2:uid="{B559334C-9A6D-4448-A91D-5F7A1E632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" i="1"/>
  <c r="E3" i="1"/>
</calcChain>
</file>

<file path=xl/sharedStrings.xml><?xml version="1.0" encoding="utf-8"?>
<sst xmlns="http://schemas.openxmlformats.org/spreadsheetml/2006/main" count="30" uniqueCount="30">
  <si>
    <t>TOTAL NO OF PEOPLE</t>
  </si>
  <si>
    <t>CLASS SESSION</t>
  </si>
  <si>
    <t>FANS RUNNING</t>
  </si>
  <si>
    <t>NUMBER OF PEOPLE  GRID 1</t>
  </si>
  <si>
    <t>NUMBER OF LAPTOPS GRID 1</t>
  </si>
  <si>
    <t xml:space="preserve"> TOTAL NO OF LAPTOPS</t>
  </si>
  <si>
    <t>NUMBER OF PEOPLE  GRID 2</t>
  </si>
  <si>
    <t>NUMBER OF LAPTOPS GRID 2</t>
  </si>
  <si>
    <t>NUMBER OF PEOPLE  GRID 3</t>
  </si>
  <si>
    <t>NUMBER OF LAPTOPS GRID 3</t>
  </si>
  <si>
    <t>PRESSURE HPA</t>
  </si>
  <si>
    <t>WINDSPEED MPH</t>
  </si>
  <si>
    <t>GRID 1 TEMPERATURE CELSIUS</t>
  </si>
  <si>
    <t>GRID 2 TEMPERATURE CELSIUS</t>
  </si>
  <si>
    <t>GRID 3 TEMPERATURE CELSIUS</t>
  </si>
  <si>
    <t>OUTDOOR TEMPERATURE CELSIUS</t>
  </si>
  <si>
    <t>HUMIDITY GRID 1 PERCENTAGE</t>
  </si>
  <si>
    <t>HUMIDITY GRID 2 PERCENTAGE</t>
  </si>
  <si>
    <t>HUMIDITY GRID 3 PERCENTAGE</t>
  </si>
  <si>
    <t>AREA OF WINDOWS GRID 1 METRE SQR</t>
  </si>
  <si>
    <t>AREA OF GRID 1 METRE SQR</t>
  </si>
  <si>
    <t>HEIGHT OF GRID 1 METRE</t>
  </si>
  <si>
    <t>AREA OF WINDOWS GRID 2 METRE SQR</t>
  </si>
  <si>
    <t>AREA OF GRID 2 METRE SQR</t>
  </si>
  <si>
    <t xml:space="preserve">HEIGHT OF GRID 2 METRE </t>
  </si>
  <si>
    <t>AREA OF WINDOWS GRID 3 METRE SQR</t>
  </si>
  <si>
    <t>AREA OF GRID 3 METRE SQR</t>
  </si>
  <si>
    <t>HEIGHT OF GRID 3 METRE</t>
  </si>
  <si>
    <t>AC TEMPERATURE</t>
  </si>
  <si>
    <t>AVERAGE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</si>
</sst>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 applyAlignme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F40A-6228-4735-B9BF-407887CCD1B4}">
  <dimension ref="A1:AD20"/>
  <sheetViews>
    <sheetView tabSelected="1" workbookViewId="0">
      <selection activeCell="B25" sqref="B25"/>
    </sheetView>
  </sheetViews>
  <sheetFormatPr defaultRowHeight="14.4" x14ac:dyDescent="0.3"/>
  <cols>
    <col min="1" max="1" width="18.77734375" bestFit="1" customWidth="1"/>
    <col min="2" max="2" width="20.109375" bestFit="1" customWidth="1"/>
    <col min="3" max="3" width="13.5546875" bestFit="1" customWidth="1"/>
    <col min="4" max="4" width="13.77734375" bestFit="1" customWidth="1"/>
    <col min="5" max="5" width="15.6640625" bestFit="1" customWidth="1"/>
    <col min="6" max="6" width="15.33203125" bestFit="1" customWidth="1"/>
    <col min="7" max="7" width="14" bestFit="1" customWidth="1"/>
    <col min="8" max="8" width="29.21875" bestFit="1" customWidth="1"/>
    <col min="9" max="9" width="26.21875" bestFit="1" customWidth="1"/>
    <col min="10" max="10" width="24.109375" bestFit="1" customWidth="1"/>
    <col min="11" max="11" width="24.77734375" bestFit="1" customWidth="1"/>
    <col min="12" max="12" width="26.6640625" style="2" bestFit="1" customWidth="1"/>
    <col min="13" max="13" width="32.88671875" bestFit="1" customWidth="1"/>
    <col min="14" max="14" width="23.6640625" bestFit="1" customWidth="1"/>
    <col min="15" max="15" width="21.88671875" bestFit="1" customWidth="1"/>
    <col min="16" max="16" width="26.21875" bestFit="1" customWidth="1"/>
    <col min="17" max="17" width="24.109375" bestFit="1" customWidth="1"/>
    <col min="18" max="18" width="24.77734375" bestFit="1" customWidth="1"/>
    <col min="19" max="19" width="26.6640625" bestFit="1" customWidth="1"/>
    <col min="20" max="20" width="32.88671875" bestFit="1" customWidth="1"/>
    <col min="21" max="21" width="23.6640625" bestFit="1" customWidth="1"/>
    <col min="22" max="22" width="22.21875" bestFit="1" customWidth="1"/>
    <col min="23" max="23" width="26.21875" bestFit="1" customWidth="1"/>
    <col min="24" max="24" width="24.109375" bestFit="1" customWidth="1"/>
    <col min="25" max="25" width="24.77734375" bestFit="1" customWidth="1"/>
    <col min="26" max="26" width="26.6640625" bestFit="1" customWidth="1"/>
    <col min="27" max="27" width="32.88671875" bestFit="1" customWidth="1"/>
    <col min="28" max="28" width="23.6640625" bestFit="1" customWidth="1"/>
    <col min="29" max="29" width="21.88671875" bestFit="1" customWidth="1"/>
    <col min="30" max="30" width="21.33203125" bestFit="1" customWidth="1"/>
  </cols>
  <sheetData>
    <row r="1" spans="1:30" x14ac:dyDescent="0.3">
      <c r="A1" t="s">
        <v>0</v>
      </c>
      <c r="B1" t="s">
        <v>5</v>
      </c>
      <c r="C1" t="s">
        <v>10</v>
      </c>
      <c r="D1" t="s">
        <v>1</v>
      </c>
      <c r="E1" t="s">
        <v>28</v>
      </c>
      <c r="F1" t="s">
        <v>11</v>
      </c>
      <c r="G1" t="s">
        <v>2</v>
      </c>
      <c r="H1" t="s">
        <v>15</v>
      </c>
      <c r="I1" t="s">
        <v>12</v>
      </c>
      <c r="J1" t="s">
        <v>3</v>
      </c>
      <c r="K1" t="s">
        <v>4</v>
      </c>
      <c r="L1" s="1" t="s">
        <v>16</v>
      </c>
      <c r="M1" t="s">
        <v>19</v>
      </c>
      <c r="N1" t="s">
        <v>20</v>
      </c>
      <c r="O1" t="s">
        <v>21</v>
      </c>
      <c r="P1" t="s">
        <v>13</v>
      </c>
      <c r="Q1" t="s">
        <v>6</v>
      </c>
      <c r="R1" t="s">
        <v>7</v>
      </c>
      <c r="S1" t="s">
        <v>17</v>
      </c>
      <c r="T1" t="s">
        <v>22</v>
      </c>
      <c r="U1" t="s">
        <v>23</v>
      </c>
      <c r="V1" t="s">
        <v>24</v>
      </c>
      <c r="W1" t="s">
        <v>14</v>
      </c>
      <c r="X1" t="s">
        <v>8</v>
      </c>
      <c r="Y1" t="s">
        <v>9</v>
      </c>
      <c r="Z1" t="s">
        <v>18</v>
      </c>
      <c r="AA1" t="s">
        <v>25</v>
      </c>
      <c r="AB1" t="s">
        <v>26</v>
      </c>
      <c r="AC1" t="s">
        <v>27</v>
      </c>
      <c r="AD1" t="s">
        <v>29</v>
      </c>
    </row>
    <row r="2" spans="1:30" x14ac:dyDescent="0.3">
      <c r="A2">
        <v>22</v>
      </c>
      <c r="B2">
        <v>20</v>
      </c>
      <c r="C2">
        <v>994</v>
      </c>
      <c r="D2">
        <v>1</v>
      </c>
      <c r="E2">
        <v>16</v>
      </c>
      <c r="F2">
        <v>3.4</v>
      </c>
      <c r="G2">
        <v>3</v>
      </c>
      <c r="H2">
        <v>42</v>
      </c>
      <c r="I2">
        <v>32</v>
      </c>
      <c r="J2">
        <v>7</v>
      </c>
      <c r="K2">
        <v>6</v>
      </c>
      <c r="L2" s="2">
        <v>70</v>
      </c>
      <c r="M2" s="2">
        <v>1.7423999999999999</v>
      </c>
      <c r="N2">
        <f>TRUNC(2.93*2.5,1)</f>
        <v>7.3</v>
      </c>
      <c r="O2">
        <v>3.5</v>
      </c>
      <c r="P2">
        <v>32.5</v>
      </c>
      <c r="Q2">
        <v>9</v>
      </c>
      <c r="R2">
        <v>8</v>
      </c>
      <c r="S2">
        <v>70</v>
      </c>
      <c r="T2">
        <v>1.3068</v>
      </c>
      <c r="U2">
        <f>TRUNC(2.93 * 3,1)</f>
        <v>8.6999999999999993</v>
      </c>
      <c r="V2">
        <v>3</v>
      </c>
      <c r="W2">
        <v>30.8</v>
      </c>
      <c r="X2">
        <v>6</v>
      </c>
      <c r="Y2">
        <v>6</v>
      </c>
      <c r="Z2">
        <v>70</v>
      </c>
      <c r="AA2">
        <v>2.6135999999999999</v>
      </c>
      <c r="AB2">
        <f>TRUNC(2.93 * 3.4,1)</f>
        <v>9.9</v>
      </c>
      <c r="AC2">
        <v>3.4</v>
      </c>
      <c r="AD2">
        <f>TRUNC((W2+P2+I2)/3,1)</f>
        <v>31.7</v>
      </c>
    </row>
    <row r="3" spans="1:30" x14ac:dyDescent="0.3">
      <c r="A3">
        <v>18</v>
      </c>
      <c r="B3">
        <v>13</v>
      </c>
      <c r="C3">
        <v>995</v>
      </c>
      <c r="D3">
        <v>0</v>
      </c>
      <c r="E3">
        <f ca="1">IF(E3=1,16,0)</f>
        <v>0</v>
      </c>
      <c r="F3">
        <v>3</v>
      </c>
      <c r="G3">
        <v>1</v>
      </c>
      <c r="H3">
        <v>34</v>
      </c>
      <c r="I3">
        <v>24.9</v>
      </c>
      <c r="J3">
        <v>5</v>
      </c>
      <c r="K3">
        <v>4</v>
      </c>
      <c r="L3" s="2">
        <v>84</v>
      </c>
      <c r="M3" s="2">
        <v>0</v>
      </c>
      <c r="N3">
        <f t="shared" ref="N3:N20" si="0">TRUNC(2.93*2.5,1)</f>
        <v>7.3</v>
      </c>
      <c r="O3">
        <v>3.5</v>
      </c>
      <c r="P3">
        <v>24.9</v>
      </c>
      <c r="Q3">
        <v>9</v>
      </c>
      <c r="R3">
        <v>5</v>
      </c>
      <c r="S3">
        <v>84</v>
      </c>
      <c r="T3">
        <v>0</v>
      </c>
      <c r="U3">
        <f t="shared" ref="U3:U20" si="1">TRUNC(2.93 * 3,1)</f>
        <v>8.6999999999999993</v>
      </c>
      <c r="V3">
        <v>3</v>
      </c>
      <c r="W3">
        <v>24.9</v>
      </c>
      <c r="X3">
        <v>4</v>
      </c>
      <c r="Y3">
        <v>4</v>
      </c>
      <c r="Z3">
        <v>84</v>
      </c>
      <c r="AA3">
        <v>0</v>
      </c>
      <c r="AB3">
        <f t="shared" ref="AB3:AB20" si="2">TRUNC(2.93 * 3.4,1)</f>
        <v>9.9</v>
      </c>
      <c r="AC3">
        <v>3.4</v>
      </c>
      <c r="AD3">
        <f t="shared" ref="AD3:AD20" si="3">TRUNC((W3+P3+I3)/3,1)</f>
        <v>24.9</v>
      </c>
    </row>
    <row r="4" spans="1:30" x14ac:dyDescent="0.3">
      <c r="A4">
        <v>2</v>
      </c>
      <c r="B4">
        <v>2</v>
      </c>
      <c r="C4">
        <v>999</v>
      </c>
      <c r="D4">
        <v>0</v>
      </c>
      <c r="E4">
        <v>0</v>
      </c>
      <c r="F4">
        <v>6.8</v>
      </c>
      <c r="G4">
        <v>0</v>
      </c>
      <c r="H4">
        <v>30</v>
      </c>
      <c r="I4">
        <v>24.8</v>
      </c>
      <c r="J4">
        <v>1</v>
      </c>
      <c r="K4">
        <v>1</v>
      </c>
      <c r="L4" s="2">
        <v>65</v>
      </c>
      <c r="M4" s="2">
        <v>0.87119999999999997</v>
      </c>
      <c r="N4">
        <f t="shared" si="0"/>
        <v>7.3</v>
      </c>
      <c r="O4">
        <v>3.5</v>
      </c>
      <c r="P4">
        <v>26.1</v>
      </c>
      <c r="Q4">
        <v>0</v>
      </c>
      <c r="R4">
        <v>0</v>
      </c>
      <c r="S4">
        <v>65</v>
      </c>
      <c r="T4">
        <v>0.87119999999999997</v>
      </c>
      <c r="U4">
        <f t="shared" si="1"/>
        <v>8.6999999999999993</v>
      </c>
      <c r="V4">
        <v>3</v>
      </c>
      <c r="W4">
        <v>25.7</v>
      </c>
      <c r="X4">
        <v>1</v>
      </c>
      <c r="Y4">
        <v>1</v>
      </c>
      <c r="Z4">
        <v>65</v>
      </c>
      <c r="AA4">
        <v>0</v>
      </c>
      <c r="AB4">
        <f t="shared" si="2"/>
        <v>9.9</v>
      </c>
      <c r="AC4">
        <v>3.4</v>
      </c>
      <c r="AD4">
        <f t="shared" si="3"/>
        <v>25.5</v>
      </c>
    </row>
    <row r="5" spans="1:30" x14ac:dyDescent="0.3">
      <c r="A5">
        <v>6</v>
      </c>
      <c r="B5">
        <v>3</v>
      </c>
      <c r="C5">
        <v>996</v>
      </c>
      <c r="D5">
        <v>1</v>
      </c>
      <c r="E5">
        <v>0</v>
      </c>
      <c r="F5">
        <v>6</v>
      </c>
      <c r="G5">
        <v>0</v>
      </c>
      <c r="H5">
        <v>35</v>
      </c>
      <c r="I5">
        <v>26.4</v>
      </c>
      <c r="J5">
        <v>4</v>
      </c>
      <c r="K5">
        <v>2</v>
      </c>
      <c r="L5" s="2">
        <v>60</v>
      </c>
      <c r="M5" s="2">
        <v>1.3068</v>
      </c>
      <c r="N5">
        <f t="shared" si="0"/>
        <v>7.3</v>
      </c>
      <c r="O5">
        <v>3.5</v>
      </c>
      <c r="P5">
        <v>26.6</v>
      </c>
      <c r="Q5">
        <v>1</v>
      </c>
      <c r="R5">
        <v>1</v>
      </c>
      <c r="S5">
        <v>60</v>
      </c>
      <c r="T5">
        <v>1.3068</v>
      </c>
      <c r="U5">
        <f t="shared" si="1"/>
        <v>8.6999999999999993</v>
      </c>
      <c r="V5">
        <v>3</v>
      </c>
      <c r="W5">
        <v>26.7</v>
      </c>
      <c r="X5">
        <v>1</v>
      </c>
      <c r="Y5">
        <v>0</v>
      </c>
      <c r="Z5">
        <v>60</v>
      </c>
      <c r="AA5">
        <v>2.1779999999999999</v>
      </c>
      <c r="AB5">
        <f t="shared" si="2"/>
        <v>9.9</v>
      </c>
      <c r="AC5">
        <v>3.4</v>
      </c>
      <c r="AD5">
        <f t="shared" si="3"/>
        <v>26.5</v>
      </c>
    </row>
    <row r="6" spans="1:30" x14ac:dyDescent="0.3">
      <c r="A6">
        <v>14</v>
      </c>
      <c r="B6">
        <v>10</v>
      </c>
      <c r="C6">
        <v>1000</v>
      </c>
      <c r="D6">
        <v>0</v>
      </c>
      <c r="E6">
        <v>16</v>
      </c>
      <c r="F6">
        <v>6.2</v>
      </c>
      <c r="G6">
        <v>2</v>
      </c>
      <c r="H6">
        <v>33</v>
      </c>
      <c r="I6">
        <v>29.2</v>
      </c>
      <c r="J6">
        <v>4</v>
      </c>
      <c r="K6">
        <v>2</v>
      </c>
      <c r="L6" s="2">
        <v>68</v>
      </c>
      <c r="M6" s="2">
        <v>1.3068</v>
      </c>
      <c r="N6">
        <f t="shared" si="0"/>
        <v>7.3</v>
      </c>
      <c r="O6">
        <v>3.5</v>
      </c>
      <c r="P6">
        <v>31</v>
      </c>
      <c r="Q6">
        <v>7</v>
      </c>
      <c r="R6">
        <v>5</v>
      </c>
      <c r="S6">
        <v>68</v>
      </c>
      <c r="T6">
        <v>1.3068</v>
      </c>
      <c r="U6">
        <f t="shared" si="1"/>
        <v>8.6999999999999993</v>
      </c>
      <c r="V6">
        <v>3</v>
      </c>
      <c r="W6">
        <v>30.7</v>
      </c>
      <c r="X6">
        <v>3</v>
      </c>
      <c r="Y6">
        <v>3</v>
      </c>
      <c r="Z6">
        <v>68</v>
      </c>
      <c r="AA6">
        <v>2.1779999999999999</v>
      </c>
      <c r="AB6">
        <f t="shared" si="2"/>
        <v>9.9</v>
      </c>
      <c r="AC6">
        <v>3.4</v>
      </c>
      <c r="AD6">
        <f t="shared" si="3"/>
        <v>30.3</v>
      </c>
    </row>
    <row r="7" spans="1:30" x14ac:dyDescent="0.3">
      <c r="A7">
        <v>3</v>
      </c>
      <c r="B7">
        <v>2</v>
      </c>
      <c r="C7">
        <v>998</v>
      </c>
      <c r="D7">
        <v>0</v>
      </c>
      <c r="E7">
        <v>0</v>
      </c>
      <c r="F7">
        <v>4</v>
      </c>
      <c r="G7">
        <v>0</v>
      </c>
      <c r="H7">
        <v>31.4</v>
      </c>
      <c r="I7">
        <v>30.8</v>
      </c>
      <c r="J7">
        <v>1</v>
      </c>
      <c r="K7">
        <v>1</v>
      </c>
      <c r="L7" s="2">
        <v>68</v>
      </c>
      <c r="M7" s="2">
        <v>0.43559999999999999</v>
      </c>
      <c r="N7">
        <f t="shared" si="0"/>
        <v>7.3</v>
      </c>
      <c r="O7">
        <v>3.5</v>
      </c>
      <c r="P7">
        <v>30.8</v>
      </c>
      <c r="Q7">
        <v>1</v>
      </c>
      <c r="R7">
        <v>1</v>
      </c>
      <c r="S7">
        <v>68</v>
      </c>
      <c r="T7">
        <v>0</v>
      </c>
      <c r="U7">
        <f t="shared" si="1"/>
        <v>8.6999999999999993</v>
      </c>
      <c r="V7">
        <v>3</v>
      </c>
      <c r="W7">
        <v>30.4</v>
      </c>
      <c r="X7">
        <v>1</v>
      </c>
      <c r="Y7">
        <v>0</v>
      </c>
      <c r="Z7">
        <v>69</v>
      </c>
      <c r="AA7">
        <v>0</v>
      </c>
      <c r="AB7">
        <f t="shared" si="2"/>
        <v>9.9</v>
      </c>
      <c r="AC7">
        <v>3.4</v>
      </c>
      <c r="AD7">
        <f t="shared" si="3"/>
        <v>30.6</v>
      </c>
    </row>
    <row r="8" spans="1:30" x14ac:dyDescent="0.3">
      <c r="A8">
        <v>5</v>
      </c>
      <c r="B8">
        <v>3</v>
      </c>
      <c r="C8">
        <v>995</v>
      </c>
      <c r="D8">
        <v>0</v>
      </c>
      <c r="E8">
        <v>0</v>
      </c>
      <c r="F8">
        <v>6</v>
      </c>
      <c r="G8">
        <v>0</v>
      </c>
      <c r="H8">
        <v>37</v>
      </c>
      <c r="I8">
        <v>32</v>
      </c>
      <c r="J8">
        <v>1</v>
      </c>
      <c r="K8">
        <v>1</v>
      </c>
      <c r="L8" s="2">
        <v>60</v>
      </c>
      <c r="M8" s="2">
        <v>1.3068</v>
      </c>
      <c r="N8">
        <f t="shared" si="0"/>
        <v>7.3</v>
      </c>
      <c r="O8">
        <v>3.5</v>
      </c>
      <c r="P8">
        <v>31.6</v>
      </c>
      <c r="Q8">
        <v>3</v>
      </c>
      <c r="R8">
        <v>1</v>
      </c>
      <c r="S8">
        <v>62</v>
      </c>
      <c r="T8">
        <v>1.3068</v>
      </c>
      <c r="U8">
        <f t="shared" si="1"/>
        <v>8.6999999999999993</v>
      </c>
      <c r="V8">
        <v>3</v>
      </c>
      <c r="W8">
        <v>31.2</v>
      </c>
      <c r="X8">
        <v>1</v>
      </c>
      <c r="Y8">
        <v>1</v>
      </c>
      <c r="Z8">
        <v>62</v>
      </c>
      <c r="AA8">
        <v>2.6135999999999999</v>
      </c>
      <c r="AB8">
        <f t="shared" si="2"/>
        <v>9.9</v>
      </c>
      <c r="AC8">
        <v>3.4</v>
      </c>
      <c r="AD8">
        <f t="shared" si="3"/>
        <v>31.6</v>
      </c>
    </row>
    <row r="9" spans="1:30" x14ac:dyDescent="0.3">
      <c r="A9">
        <v>6</v>
      </c>
      <c r="B9">
        <v>4</v>
      </c>
      <c r="C9">
        <v>1003</v>
      </c>
      <c r="D9">
        <v>0</v>
      </c>
      <c r="E9">
        <v>16</v>
      </c>
      <c r="F9">
        <v>5</v>
      </c>
      <c r="G9">
        <v>2</v>
      </c>
      <c r="H9">
        <v>32</v>
      </c>
      <c r="I9">
        <v>26.4</v>
      </c>
      <c r="J9">
        <v>1</v>
      </c>
      <c r="K9">
        <v>1</v>
      </c>
      <c r="L9" s="2">
        <v>37</v>
      </c>
      <c r="M9" s="2">
        <v>0</v>
      </c>
      <c r="N9">
        <f t="shared" si="0"/>
        <v>7.3</v>
      </c>
      <c r="O9">
        <v>3.5</v>
      </c>
      <c r="P9">
        <v>26.4</v>
      </c>
      <c r="Q9">
        <v>2</v>
      </c>
      <c r="R9">
        <v>2</v>
      </c>
      <c r="S9">
        <v>39</v>
      </c>
      <c r="T9">
        <v>0</v>
      </c>
      <c r="U9">
        <f t="shared" si="1"/>
        <v>8.6999999999999993</v>
      </c>
      <c r="V9">
        <v>3</v>
      </c>
      <c r="W9">
        <v>31.6</v>
      </c>
      <c r="X9">
        <v>3</v>
      </c>
      <c r="Y9">
        <v>1</v>
      </c>
      <c r="Z9">
        <v>40</v>
      </c>
      <c r="AA9">
        <v>0</v>
      </c>
      <c r="AB9">
        <f t="shared" si="2"/>
        <v>9.9</v>
      </c>
      <c r="AC9">
        <v>3.4</v>
      </c>
      <c r="AD9">
        <f t="shared" si="3"/>
        <v>28.1</v>
      </c>
    </row>
    <row r="10" spans="1:30" x14ac:dyDescent="0.3">
      <c r="A10">
        <v>7</v>
      </c>
      <c r="B10">
        <v>3</v>
      </c>
      <c r="C10">
        <v>1005.08</v>
      </c>
      <c r="D10">
        <v>0</v>
      </c>
      <c r="E10">
        <v>16</v>
      </c>
      <c r="F10">
        <v>8</v>
      </c>
      <c r="G10">
        <v>2</v>
      </c>
      <c r="H10">
        <v>41</v>
      </c>
      <c r="I10">
        <v>34</v>
      </c>
      <c r="J10">
        <v>2</v>
      </c>
      <c r="K10">
        <v>1</v>
      </c>
      <c r="L10" s="2">
        <v>48</v>
      </c>
      <c r="M10" s="2">
        <v>0</v>
      </c>
      <c r="N10">
        <f t="shared" si="0"/>
        <v>7.3</v>
      </c>
      <c r="O10">
        <v>3.5</v>
      </c>
      <c r="P10">
        <v>30.8</v>
      </c>
      <c r="Q10">
        <v>2</v>
      </c>
      <c r="R10">
        <v>1</v>
      </c>
      <c r="S10">
        <v>48</v>
      </c>
      <c r="T10">
        <v>0</v>
      </c>
      <c r="U10">
        <f t="shared" si="1"/>
        <v>8.6999999999999993</v>
      </c>
      <c r="V10">
        <v>3</v>
      </c>
      <c r="W10">
        <v>25.9</v>
      </c>
      <c r="X10">
        <v>3</v>
      </c>
      <c r="Y10">
        <v>1</v>
      </c>
      <c r="Z10">
        <v>48</v>
      </c>
      <c r="AA10">
        <v>0</v>
      </c>
      <c r="AB10">
        <f t="shared" si="2"/>
        <v>9.9</v>
      </c>
      <c r="AC10">
        <v>3.4</v>
      </c>
      <c r="AD10">
        <f t="shared" si="3"/>
        <v>30.2</v>
      </c>
    </row>
    <row r="11" spans="1:30" x14ac:dyDescent="0.3">
      <c r="A11">
        <v>14</v>
      </c>
      <c r="B11">
        <v>14</v>
      </c>
      <c r="C11">
        <v>1008</v>
      </c>
      <c r="D11">
        <v>0</v>
      </c>
      <c r="E11">
        <v>16</v>
      </c>
      <c r="F11">
        <v>5.4</v>
      </c>
      <c r="G11">
        <v>3</v>
      </c>
      <c r="H11">
        <v>33.200000000000003</v>
      </c>
      <c r="I11">
        <v>31</v>
      </c>
      <c r="J11">
        <v>3</v>
      </c>
      <c r="K11">
        <v>3</v>
      </c>
      <c r="L11" s="2">
        <v>93</v>
      </c>
      <c r="M11" s="2">
        <v>0</v>
      </c>
      <c r="N11">
        <f t="shared" si="0"/>
        <v>7.3</v>
      </c>
      <c r="O11">
        <v>3.5</v>
      </c>
      <c r="P11">
        <v>26.4</v>
      </c>
      <c r="Q11">
        <v>5</v>
      </c>
      <c r="R11">
        <v>5</v>
      </c>
      <c r="S11">
        <v>93</v>
      </c>
      <c r="T11">
        <v>0</v>
      </c>
      <c r="U11">
        <f t="shared" si="1"/>
        <v>8.6999999999999993</v>
      </c>
      <c r="V11">
        <v>3</v>
      </c>
      <c r="W11">
        <v>26</v>
      </c>
      <c r="X11">
        <v>6</v>
      </c>
      <c r="Y11">
        <v>6</v>
      </c>
      <c r="Z11">
        <v>93</v>
      </c>
      <c r="AA11">
        <v>0</v>
      </c>
      <c r="AB11">
        <f t="shared" si="2"/>
        <v>9.9</v>
      </c>
      <c r="AC11">
        <v>3.4</v>
      </c>
      <c r="AD11">
        <f t="shared" si="3"/>
        <v>27.8</v>
      </c>
    </row>
    <row r="12" spans="1:30" x14ac:dyDescent="0.3">
      <c r="A12">
        <v>29</v>
      </c>
      <c r="B12">
        <v>10</v>
      </c>
      <c r="C12">
        <v>1010</v>
      </c>
      <c r="D12">
        <v>1</v>
      </c>
      <c r="E12">
        <v>16</v>
      </c>
      <c r="F12">
        <v>7.4</v>
      </c>
      <c r="G12">
        <v>3</v>
      </c>
      <c r="H12">
        <v>33.200000000000003</v>
      </c>
      <c r="I12">
        <v>31.8</v>
      </c>
      <c r="J12">
        <v>11</v>
      </c>
      <c r="K12">
        <v>4</v>
      </c>
      <c r="L12" s="2">
        <v>66</v>
      </c>
      <c r="M12" s="2">
        <v>1.3068</v>
      </c>
      <c r="N12">
        <f t="shared" si="0"/>
        <v>7.3</v>
      </c>
      <c r="O12">
        <v>3.5</v>
      </c>
      <c r="P12">
        <v>33.200000000000003</v>
      </c>
      <c r="Q12">
        <v>8</v>
      </c>
      <c r="R12">
        <v>3</v>
      </c>
      <c r="S12">
        <v>66</v>
      </c>
      <c r="T12">
        <v>1.3068</v>
      </c>
      <c r="U12">
        <f t="shared" si="1"/>
        <v>8.6999999999999993</v>
      </c>
      <c r="V12">
        <v>3</v>
      </c>
      <c r="W12">
        <v>30</v>
      </c>
      <c r="X12">
        <v>10</v>
      </c>
      <c r="Y12">
        <v>3</v>
      </c>
      <c r="Z12">
        <v>66</v>
      </c>
      <c r="AA12">
        <v>2.6135999999999999</v>
      </c>
      <c r="AB12">
        <f t="shared" si="2"/>
        <v>9.9</v>
      </c>
      <c r="AC12">
        <v>3.4</v>
      </c>
      <c r="AD12">
        <f t="shared" si="3"/>
        <v>31.6</v>
      </c>
    </row>
    <row r="13" spans="1:30" x14ac:dyDescent="0.3">
      <c r="A13">
        <v>30</v>
      </c>
      <c r="B13">
        <v>11</v>
      </c>
      <c r="C13">
        <v>1010.5</v>
      </c>
      <c r="D13">
        <v>1</v>
      </c>
      <c r="E13">
        <v>0</v>
      </c>
      <c r="F13">
        <v>7.4</v>
      </c>
      <c r="G13">
        <v>0</v>
      </c>
      <c r="H13">
        <v>43</v>
      </c>
      <c r="I13">
        <v>32</v>
      </c>
      <c r="J13">
        <v>7</v>
      </c>
      <c r="K13">
        <v>3</v>
      </c>
      <c r="L13" s="2">
        <v>70</v>
      </c>
      <c r="M13" s="2">
        <v>0.87119999999999997</v>
      </c>
      <c r="N13">
        <f t="shared" si="0"/>
        <v>7.3</v>
      </c>
      <c r="O13">
        <v>3.5</v>
      </c>
      <c r="P13">
        <v>32</v>
      </c>
      <c r="Q13">
        <v>11</v>
      </c>
      <c r="R13">
        <v>5</v>
      </c>
      <c r="S13">
        <v>69</v>
      </c>
      <c r="T13">
        <v>1.3068</v>
      </c>
      <c r="U13">
        <f t="shared" si="1"/>
        <v>8.6999999999999993</v>
      </c>
      <c r="V13">
        <v>3</v>
      </c>
      <c r="W13">
        <v>32</v>
      </c>
      <c r="X13">
        <v>12</v>
      </c>
      <c r="Y13">
        <v>3</v>
      </c>
      <c r="Z13">
        <v>72</v>
      </c>
      <c r="AA13">
        <v>2.6135999999999999</v>
      </c>
      <c r="AB13">
        <f t="shared" si="2"/>
        <v>9.9</v>
      </c>
      <c r="AC13">
        <v>3.4</v>
      </c>
      <c r="AD13">
        <f t="shared" si="3"/>
        <v>32</v>
      </c>
    </row>
    <row r="14" spans="1:30" x14ac:dyDescent="0.3">
      <c r="A14">
        <v>20</v>
      </c>
      <c r="B14">
        <v>12</v>
      </c>
      <c r="C14">
        <v>1009.48</v>
      </c>
      <c r="D14">
        <v>0</v>
      </c>
      <c r="E14">
        <v>16</v>
      </c>
      <c r="F14">
        <v>6.4</v>
      </c>
      <c r="G14">
        <v>3</v>
      </c>
      <c r="H14">
        <v>30</v>
      </c>
      <c r="I14">
        <v>26</v>
      </c>
      <c r="J14">
        <v>8</v>
      </c>
      <c r="K14">
        <v>3</v>
      </c>
      <c r="L14" s="2">
        <v>93</v>
      </c>
      <c r="M14" s="2">
        <v>0</v>
      </c>
      <c r="N14">
        <f t="shared" si="0"/>
        <v>7.3</v>
      </c>
      <c r="O14">
        <v>3.5</v>
      </c>
      <c r="P14">
        <v>24</v>
      </c>
      <c r="Q14">
        <v>2</v>
      </c>
      <c r="R14">
        <v>2</v>
      </c>
      <c r="S14">
        <v>93</v>
      </c>
      <c r="T14">
        <v>0</v>
      </c>
      <c r="U14">
        <f t="shared" si="1"/>
        <v>8.6999999999999993</v>
      </c>
      <c r="V14">
        <v>3</v>
      </c>
      <c r="W14">
        <v>24</v>
      </c>
      <c r="X14">
        <v>8</v>
      </c>
      <c r="Y14">
        <v>7</v>
      </c>
      <c r="Z14">
        <v>93</v>
      </c>
      <c r="AA14">
        <v>0</v>
      </c>
      <c r="AB14">
        <f t="shared" si="2"/>
        <v>9.9</v>
      </c>
      <c r="AC14">
        <v>3.4</v>
      </c>
      <c r="AD14">
        <f t="shared" si="3"/>
        <v>24.6</v>
      </c>
    </row>
    <row r="15" spans="1:30" x14ac:dyDescent="0.3">
      <c r="A15">
        <v>3</v>
      </c>
      <c r="B15">
        <v>2</v>
      </c>
      <c r="C15">
        <v>1010.05</v>
      </c>
      <c r="D15">
        <v>0</v>
      </c>
      <c r="E15">
        <v>16</v>
      </c>
      <c r="F15">
        <v>8</v>
      </c>
      <c r="G15">
        <v>3</v>
      </c>
      <c r="H15">
        <v>32</v>
      </c>
      <c r="I15">
        <v>29.3</v>
      </c>
      <c r="J15">
        <v>1</v>
      </c>
      <c r="K15">
        <v>1</v>
      </c>
      <c r="L15" s="2">
        <v>85</v>
      </c>
      <c r="M15" s="2">
        <v>0</v>
      </c>
      <c r="N15">
        <f t="shared" si="0"/>
        <v>7.3</v>
      </c>
      <c r="O15">
        <v>3.5</v>
      </c>
      <c r="P15">
        <v>27</v>
      </c>
      <c r="Q15">
        <v>0</v>
      </c>
      <c r="R15">
        <v>0</v>
      </c>
      <c r="S15">
        <v>85</v>
      </c>
      <c r="T15">
        <v>0</v>
      </c>
      <c r="U15">
        <f t="shared" si="1"/>
        <v>8.6999999999999993</v>
      </c>
      <c r="V15">
        <v>3</v>
      </c>
      <c r="W15">
        <v>26.8</v>
      </c>
      <c r="X15">
        <v>2</v>
      </c>
      <c r="Y15">
        <v>1</v>
      </c>
      <c r="Z15">
        <v>85</v>
      </c>
      <c r="AA15">
        <v>0</v>
      </c>
      <c r="AB15">
        <f t="shared" si="2"/>
        <v>9.9</v>
      </c>
      <c r="AC15">
        <v>3.4</v>
      </c>
      <c r="AD15">
        <f t="shared" si="3"/>
        <v>27.7</v>
      </c>
    </row>
    <row r="16" spans="1:30" x14ac:dyDescent="0.3">
      <c r="A16">
        <v>16</v>
      </c>
      <c r="B16">
        <v>10</v>
      </c>
      <c r="C16">
        <v>1010.16</v>
      </c>
      <c r="D16">
        <v>1</v>
      </c>
      <c r="E16">
        <v>16</v>
      </c>
      <c r="F16">
        <v>8.4</v>
      </c>
      <c r="G16">
        <v>3</v>
      </c>
      <c r="H16">
        <v>40</v>
      </c>
      <c r="I16">
        <v>31.2</v>
      </c>
      <c r="J16">
        <v>5</v>
      </c>
      <c r="K16">
        <v>3</v>
      </c>
      <c r="L16" s="2">
        <v>69</v>
      </c>
      <c r="M16" s="2">
        <v>0.43559999999999999</v>
      </c>
      <c r="N16">
        <f t="shared" si="0"/>
        <v>7.3</v>
      </c>
      <c r="O16">
        <v>3.5</v>
      </c>
      <c r="P16">
        <v>30.8</v>
      </c>
      <c r="Q16">
        <v>4</v>
      </c>
      <c r="R16">
        <v>2</v>
      </c>
      <c r="S16">
        <v>71</v>
      </c>
      <c r="T16">
        <v>0.87119999999999997</v>
      </c>
      <c r="U16">
        <f t="shared" si="1"/>
        <v>8.6999999999999993</v>
      </c>
      <c r="V16">
        <v>3</v>
      </c>
      <c r="W16">
        <v>30.4</v>
      </c>
      <c r="X16">
        <v>7</v>
      </c>
      <c r="Y16">
        <v>5</v>
      </c>
      <c r="Z16">
        <v>72</v>
      </c>
      <c r="AA16">
        <v>2.6135999999999999</v>
      </c>
      <c r="AB16">
        <f t="shared" si="2"/>
        <v>9.9</v>
      </c>
      <c r="AC16">
        <v>3.4</v>
      </c>
      <c r="AD16">
        <f t="shared" si="3"/>
        <v>30.8</v>
      </c>
    </row>
    <row r="17" spans="1:30" x14ac:dyDescent="0.3">
      <c r="A17">
        <v>20</v>
      </c>
      <c r="B17">
        <v>17</v>
      </c>
      <c r="C17">
        <v>1009.48</v>
      </c>
      <c r="D17">
        <v>0</v>
      </c>
      <c r="E17">
        <v>16</v>
      </c>
      <c r="F17">
        <v>6</v>
      </c>
      <c r="G17">
        <v>3</v>
      </c>
      <c r="H17">
        <v>23.5</v>
      </c>
      <c r="I17">
        <v>28</v>
      </c>
      <c r="J17">
        <v>6</v>
      </c>
      <c r="K17">
        <v>4</v>
      </c>
      <c r="L17" s="2">
        <v>94</v>
      </c>
      <c r="M17" s="2">
        <v>0.87119999999999997</v>
      </c>
      <c r="N17">
        <f t="shared" si="0"/>
        <v>7.3</v>
      </c>
      <c r="O17">
        <v>3.5</v>
      </c>
      <c r="P17">
        <v>27.2</v>
      </c>
      <c r="Q17">
        <v>5</v>
      </c>
      <c r="R17">
        <v>6</v>
      </c>
      <c r="S17">
        <v>94</v>
      </c>
      <c r="T17">
        <v>0.43559999999999999</v>
      </c>
      <c r="U17">
        <f t="shared" si="1"/>
        <v>8.6999999999999993</v>
      </c>
      <c r="V17">
        <v>3</v>
      </c>
      <c r="W17">
        <v>27.3</v>
      </c>
      <c r="X17">
        <v>9</v>
      </c>
      <c r="Y17">
        <v>7</v>
      </c>
      <c r="Z17">
        <v>94</v>
      </c>
      <c r="AA17">
        <v>0.87119999999999997</v>
      </c>
      <c r="AB17">
        <f t="shared" si="2"/>
        <v>9.9</v>
      </c>
      <c r="AC17">
        <v>3.4</v>
      </c>
      <c r="AD17">
        <f t="shared" si="3"/>
        <v>27.5</v>
      </c>
    </row>
    <row r="18" spans="1:30" x14ac:dyDescent="0.3">
      <c r="A18">
        <v>5</v>
      </c>
      <c r="B18">
        <v>4</v>
      </c>
      <c r="C18">
        <v>1010.5</v>
      </c>
      <c r="D18">
        <v>0</v>
      </c>
      <c r="E18">
        <v>16</v>
      </c>
      <c r="F18">
        <v>7.4</v>
      </c>
      <c r="G18">
        <v>3</v>
      </c>
      <c r="H18">
        <v>28</v>
      </c>
      <c r="I18">
        <v>27</v>
      </c>
      <c r="J18">
        <v>2</v>
      </c>
      <c r="K18">
        <v>2</v>
      </c>
      <c r="L18" s="2">
        <v>66</v>
      </c>
      <c r="M18" s="2">
        <v>0.43559999999999999</v>
      </c>
      <c r="N18">
        <f t="shared" si="0"/>
        <v>7.3</v>
      </c>
      <c r="O18">
        <v>3.5</v>
      </c>
      <c r="P18">
        <v>27</v>
      </c>
      <c r="Q18">
        <v>1</v>
      </c>
      <c r="R18">
        <v>1</v>
      </c>
      <c r="S18">
        <v>66</v>
      </c>
      <c r="T18">
        <v>0.43559999999999999</v>
      </c>
      <c r="U18">
        <f t="shared" si="1"/>
        <v>8.6999999999999993</v>
      </c>
      <c r="V18">
        <v>3</v>
      </c>
      <c r="W18">
        <v>26</v>
      </c>
      <c r="X18">
        <v>2</v>
      </c>
      <c r="Y18">
        <v>1</v>
      </c>
      <c r="Z18">
        <v>66</v>
      </c>
      <c r="AA18">
        <v>0.43559999999999999</v>
      </c>
      <c r="AB18">
        <f t="shared" si="2"/>
        <v>9.9</v>
      </c>
      <c r="AC18">
        <v>3.4</v>
      </c>
      <c r="AD18">
        <f t="shared" si="3"/>
        <v>26.6</v>
      </c>
    </row>
    <row r="19" spans="1:30" x14ac:dyDescent="0.3">
      <c r="A19">
        <v>8</v>
      </c>
      <c r="B19">
        <v>5</v>
      </c>
      <c r="C19">
        <v>1012</v>
      </c>
      <c r="D19">
        <v>1</v>
      </c>
      <c r="E19">
        <v>16</v>
      </c>
      <c r="F19">
        <v>8</v>
      </c>
      <c r="G19">
        <v>3</v>
      </c>
      <c r="H19">
        <v>40</v>
      </c>
      <c r="I19">
        <v>31.5</v>
      </c>
      <c r="J19">
        <v>2</v>
      </c>
      <c r="K19">
        <v>3</v>
      </c>
      <c r="L19" s="2">
        <v>71</v>
      </c>
      <c r="M19" s="2">
        <v>0.43559999999999999</v>
      </c>
      <c r="N19">
        <f t="shared" si="0"/>
        <v>7.3</v>
      </c>
      <c r="O19">
        <v>3.5</v>
      </c>
      <c r="P19">
        <v>32.4</v>
      </c>
      <c r="Q19">
        <v>4</v>
      </c>
      <c r="R19">
        <v>1</v>
      </c>
      <c r="S19">
        <v>70</v>
      </c>
      <c r="T19">
        <v>0.43559999999999999</v>
      </c>
      <c r="U19">
        <f t="shared" si="1"/>
        <v>8.6999999999999993</v>
      </c>
      <c r="V19">
        <v>3</v>
      </c>
      <c r="W19">
        <v>31.7</v>
      </c>
      <c r="X19">
        <v>2</v>
      </c>
      <c r="Y19">
        <v>1</v>
      </c>
      <c r="Z19">
        <v>69</v>
      </c>
      <c r="AA19">
        <v>0.43559999999999999</v>
      </c>
      <c r="AB19">
        <f t="shared" si="2"/>
        <v>9.9</v>
      </c>
      <c r="AC19">
        <v>3.4</v>
      </c>
      <c r="AD19">
        <f t="shared" si="3"/>
        <v>31.8</v>
      </c>
    </row>
    <row r="20" spans="1:30" x14ac:dyDescent="0.3">
      <c r="A20">
        <v>12</v>
      </c>
      <c r="B20">
        <v>11</v>
      </c>
      <c r="C20">
        <v>1011.8</v>
      </c>
      <c r="D20">
        <v>0</v>
      </c>
      <c r="E20">
        <v>16</v>
      </c>
      <c r="F20">
        <v>8.1999999999999993</v>
      </c>
      <c r="G20">
        <v>3</v>
      </c>
      <c r="H20">
        <v>30</v>
      </c>
      <c r="I20">
        <v>31.8</v>
      </c>
      <c r="J20">
        <v>4</v>
      </c>
      <c r="K20">
        <v>4</v>
      </c>
      <c r="L20" s="2">
        <v>72</v>
      </c>
      <c r="M20" s="2">
        <v>0</v>
      </c>
      <c r="N20">
        <f t="shared" si="0"/>
        <v>7.3</v>
      </c>
      <c r="O20">
        <v>3.5</v>
      </c>
      <c r="P20">
        <v>31.8</v>
      </c>
      <c r="Q20">
        <v>5</v>
      </c>
      <c r="R20">
        <v>5</v>
      </c>
      <c r="S20">
        <v>70</v>
      </c>
      <c r="T20">
        <v>0.43559999999999999</v>
      </c>
      <c r="U20">
        <f t="shared" si="1"/>
        <v>8.6999999999999993</v>
      </c>
      <c r="V20">
        <v>3</v>
      </c>
      <c r="W20">
        <v>31.7</v>
      </c>
      <c r="X20">
        <v>3</v>
      </c>
      <c r="Y20">
        <v>2</v>
      </c>
      <c r="Z20">
        <v>71</v>
      </c>
      <c r="AA20">
        <v>0</v>
      </c>
      <c r="AB20">
        <f t="shared" si="2"/>
        <v>9.9</v>
      </c>
      <c r="AC20">
        <v>3.4</v>
      </c>
      <c r="AD20">
        <f t="shared" si="3"/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Isabu Edwin</dc:creator>
  <cp:lastModifiedBy>Isabu Edwin</cp:lastModifiedBy>
  <dcterms:created xsi:type="dcterms:W3CDTF">2026-03-11T14:41:36Z</dcterms:created>
  <dcterms:modified xsi:type="dcterms:W3CDTF">2026-03-15T17:36:14Z</dcterms:modified>
</cp:coreProperties>
</file>